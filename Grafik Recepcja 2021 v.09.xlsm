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en_skoroszyt"/>
  <mc:AlternateContent xmlns:mc="http://schemas.openxmlformats.org/markup-compatibility/2006">
    <mc:Choice Requires="x15">
      <x15ac:absPath xmlns:x15ac="http://schemas.microsoft.com/office/spreadsheetml/2010/11/ac" url="D:\Srokks\Desktop\"/>
    </mc:Choice>
  </mc:AlternateContent>
  <xr:revisionPtr revIDLastSave="0" documentId="13_ncr:1_{C603EFA6-D6C0-4EF2-9555-0026242EEBA6}" xr6:coauthVersionLast="47" xr6:coauthVersionMax="47" xr10:uidLastSave="{00000000-0000-0000-0000-000000000000}"/>
  <bookViews>
    <workbookView xWindow="-108" yWindow="-108" windowWidth="23256" windowHeight="12576" tabRatio="721" xr2:uid="{00000000-000D-0000-FFFF-FFFF00000000}"/>
  </bookViews>
  <sheets>
    <sheet name="Generator" sheetId="54" r:id="rId1"/>
  </sheets>
  <functionGroups builtInGroupCount="19"/>
  <externalReferences>
    <externalReference r:id="rId2"/>
  </externalReferences>
  <definedNames>
    <definedName name="edytowalne" comment="edytowalne wartości w generatorze, nie zastrzeżone hasłem" localSheetId="0">Generator!$G$4:$H$15,Generator!$C$4:$D$43,Generator!$C$2,Generator!$E$4</definedName>
    <definedName name="weekendy">'[1]Marzec 2021 Jeleń fufu'!$M$2:$P$31,'[1]Marzec 2021 Jeleń fufu'!$AA$2:$AD$31,'[1]Marzec 2021 Jeleń fufu'!$AO$2:$AR$31,'[1]Marzec 2021 Jeleń fufu'!$BC$2:$BF$31,'[1]Marzec 2021 Jeleń fufu'!$BC$34:$BF$41,'[1]Marzec 2021 Jeleń fufu'!$AO$34:$AR$41,'[1]Marzec 2021 Jeleń fufu'!$AA$34:$AD$41,'[1]Marzec 2021 Jeleń fufu'!$M$34:$P$41</definedName>
    <definedName name="WORWA_godziny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3" i="54" l="1"/>
  <c r="Q34" i="54"/>
  <c r="Q35" i="54"/>
  <c r="Q36" i="54"/>
  <c r="Q37" i="54"/>
  <c r="R37" i="54" s="1"/>
  <c r="Q38" i="54"/>
  <c r="Q39" i="54"/>
  <c r="Q40" i="54"/>
  <c r="Q41" i="54"/>
  <c r="R41" i="54" s="1"/>
  <c r="Q42" i="54"/>
  <c r="Q43" i="54"/>
  <c r="Q32" i="54"/>
  <c r="R40" i="54" l="1"/>
  <c r="R43" i="54"/>
  <c r="R39" i="54"/>
  <c r="S39" i="54" s="1"/>
  <c r="R35" i="54"/>
  <c r="R42" i="54"/>
  <c r="S42" i="54" s="1"/>
  <c r="R38" i="54"/>
  <c r="S38" i="54" s="1"/>
  <c r="R34" i="54"/>
  <c r="R36" i="54"/>
  <c r="S36" i="54" s="1"/>
  <c r="R33" i="54"/>
  <c r="S33" i="54" s="1"/>
  <c r="S43" i="54" l="1"/>
  <c r="S34" i="54"/>
  <c r="S35" i="54"/>
  <c r="S40" i="54"/>
  <c r="S37" i="54"/>
  <c r="S41" i="54"/>
  <c r="Q29" i="54" l="1"/>
  <c r="R29" i="54" s="1"/>
  <c r="Q20" i="54"/>
  <c r="R20" i="54" s="1"/>
  <c r="Q21" i="54"/>
  <c r="R21" i="54" s="1"/>
  <c r="Q22" i="54"/>
  <c r="R22" i="54" s="1"/>
  <c r="Q23" i="54"/>
  <c r="R23" i="54" s="1"/>
  <c r="S24" i="54" s="1"/>
  <c r="Q24" i="54"/>
  <c r="R24" i="54" s="1"/>
  <c r="Q25" i="54"/>
  <c r="R25" i="54"/>
  <c r="Q26" i="54"/>
  <c r="R26" i="54" s="1"/>
  <c r="Q27" i="54"/>
  <c r="R27" i="54" s="1"/>
  <c r="Q28" i="54"/>
  <c r="R28" i="54" s="1"/>
  <c r="Q19" i="54"/>
  <c r="R19" i="54" s="1"/>
  <c r="Q18" i="54"/>
  <c r="S23" i="54" l="1"/>
  <c r="S27" i="54"/>
  <c r="S22" i="54"/>
  <c r="S25" i="54"/>
  <c r="S29" i="54"/>
  <c r="S28" i="54"/>
  <c r="S21" i="54"/>
  <c r="S20" i="54"/>
  <c r="S19" i="54"/>
  <c r="S26" i="54"/>
</calcChain>
</file>

<file path=xl/sharedStrings.xml><?xml version="1.0" encoding="utf-8"?>
<sst xmlns="http://schemas.openxmlformats.org/spreadsheetml/2006/main" count="149" uniqueCount="94">
  <si>
    <t>Luty</t>
  </si>
  <si>
    <t>Pracownicy</t>
  </si>
  <si>
    <t>Miesiące</t>
  </si>
  <si>
    <t>Ilość godzin do przepracowania</t>
  </si>
  <si>
    <t>Uwagi</t>
  </si>
  <si>
    <t>Styczeń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</si>
  <si>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</si>
  <si>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</si>
  <si>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</si>
  <si>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</si>
  <si>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</si>
  <si>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</si>
  <si>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</si>
  <si>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</si>
  <si>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</si>
  <si>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</si>
  <si>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1 za święto przypadające w sobotę</t>
  </si>
  <si>
    <t>Imię:</t>
  </si>
  <si>
    <t>Nazwisko:</t>
  </si>
  <si>
    <t>ROK</t>
  </si>
  <si>
    <t>osoby:</t>
  </si>
  <si>
    <t>cur_month</t>
  </si>
  <si>
    <t>cur_year</t>
  </si>
  <si>
    <t>KONTROLNE DANE DO GENEROWANIA</t>
  </si>
  <si>
    <t>sheet_name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</si>
  <si>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</si>
  <si>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</si>
  <si>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</si>
  <si>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</si>
  <si>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</si>
  <si>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</si>
  <si>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</si>
  <si>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</si>
  <si>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</si>
  <si>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</si>
  <si>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</si>
  <si>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</si>
  <si>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</si>
  <si>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</si>
  <si>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</si>
  <si>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</si>
  <si>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</si>
  <si>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</si>
  <si>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</si>
  <si>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</si>
  <si>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working_hours</t>
  </si>
  <si>
    <t>weekend_color</t>
  </si>
  <si>
    <t>double_name_count</t>
  </si>
  <si>
    <t>Nazwa działu:</t>
  </si>
  <si>
    <t>Recepcja</t>
  </si>
  <si>
    <t>Lista tymczasowa</t>
  </si>
  <si>
    <t>Procedura</t>
  </si>
  <si>
    <t>create_sheet</t>
  </si>
  <si>
    <t>fill_empl</t>
  </si>
  <si>
    <t>fill_days</t>
  </si>
  <si>
    <t>fill_work_days</t>
  </si>
  <si>
    <t>set_night_cond_form</t>
  </si>
  <si>
    <t>set_weekend_cond_form</t>
  </si>
  <si>
    <t>fill_work_hours</t>
  </si>
  <si>
    <t>fill_headers</t>
  </si>
  <si>
    <t>fill_downinfo</t>
  </si>
  <si>
    <t>set_print_info</t>
  </si>
  <si>
    <t>Czas</t>
  </si>
  <si>
    <t>START</t>
  </si>
  <si>
    <t>END</t>
  </si>
  <si>
    <t>I</t>
  </si>
  <si>
    <t>II</t>
  </si>
  <si>
    <t>III</t>
  </si>
  <si>
    <t>IV</t>
  </si>
  <si>
    <t>V</t>
  </si>
  <si>
    <t>~</t>
  </si>
  <si>
    <t>Nazwa zakładu pracy do kart pracy</t>
  </si>
  <si>
    <t>create new sheet</t>
  </si>
  <si>
    <t>%</t>
  </si>
  <si>
    <t>transform_plan</t>
  </si>
  <si>
    <t>card_1</t>
  </si>
  <si>
    <t>card_4</t>
  </si>
  <si>
    <t>card_2</t>
  </si>
  <si>
    <t>card_3</t>
  </si>
  <si>
    <t>card_5</t>
  </si>
  <si>
    <t>card_6</t>
  </si>
  <si>
    <t>card_7</t>
  </si>
  <si>
    <t>card_8</t>
  </si>
  <si>
    <t>card_9</t>
  </si>
  <si>
    <t>Marzec 2021</t>
  </si>
  <si>
    <t>&lt;NAZWA FIRMY&gt;</t>
  </si>
  <si>
    <t>&lt;PRACOWNIK&gt;</t>
  </si>
  <si>
    <t>&lt;1&gt;</t>
  </si>
  <si>
    <t>&lt;2&gt;</t>
  </si>
  <si>
    <t>&lt;3&gt;</t>
  </si>
  <si>
    <t>&lt;4&gt;</t>
  </si>
  <si>
    <t>&lt;5&gt;</t>
  </si>
  <si>
    <t>&lt;6&gt;</t>
  </si>
  <si>
    <t>&lt;7&gt;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</si>
</sst>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00"/>
  </numFmts>
  <fonts count="14" x14ac:knownFonts="1">
    <font>
      <sz val="11"/>
      <color theme="1"/>
      <name val="Calibri"/>
      <family val="2"/>
      <scheme val="minor"/>
    </font>
    <font>
      <sz val="8"/>
      <color theme="1"/>
      <name val="Cambria"/>
      <family val="1"/>
      <charset val="238"/>
    </font>
    <font>
      <sz val="8"/>
      <color rgb="FFFF0000"/>
      <name val="Cambria"/>
      <family val="1"/>
      <charset val="238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9"/>
      <name val="Cambria"/>
      <family val="1"/>
      <charset val="238"/>
      <scheme val="major"/>
    </font>
    <font>
      <sz val="11"/>
      <name val="Consolas"/>
      <family val="3"/>
      <charset val="238"/>
    </font>
    <font>
      <b/>
      <sz val="12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391B3"/>
        <bgColor indexed="64"/>
      </patternFill>
    </fill>
    <fill>
      <patternFill patternType="solid">
        <fgColor rgb="FFF6B2C9"/>
        <bgColor indexed="64"/>
      </patternFill>
    </fill>
    <fill>
      <patternFill patternType="solid">
        <fgColor rgb="FFFAD3E0"/>
        <bgColor indexed="64"/>
      </patternFill>
    </fill>
    <fill>
      <patternFill patternType="solid">
        <fgColor rgb="FFFF7F10"/>
        <bgColor indexed="64"/>
      </patternFill>
    </fill>
    <fill>
      <patternFill patternType="solid">
        <fgColor rgb="FFFFB97C"/>
        <bgColor indexed="64"/>
      </patternFill>
    </fill>
    <fill>
      <patternFill patternType="solid">
        <fgColor rgb="FFFFD3AD"/>
        <bgColor indexed="64"/>
      </patternFill>
    </fill>
    <fill>
      <patternFill patternType="solid">
        <fgColor rgb="FFF6FF7C"/>
        <bgColor indexed="64"/>
      </patternFill>
    </fill>
    <fill>
      <patternFill patternType="solid">
        <fgColor rgb="FFFAFFBD"/>
        <bgColor indexed="64"/>
      </patternFill>
    </fill>
    <fill>
      <patternFill patternType="solid">
        <fgColor rgb="FFEFFF10"/>
        <bgColor indexed="64"/>
      </patternFill>
    </fill>
    <fill>
      <patternFill patternType="solid">
        <fgColor rgb="FF92FF4F"/>
        <bgColor indexed="64"/>
      </patternFill>
    </fill>
    <fill>
      <patternFill patternType="solid">
        <fgColor rgb="FFC1FF9B"/>
        <bgColor indexed="64"/>
      </patternFill>
    </fill>
    <fill>
      <patternFill patternType="solid">
        <fgColor rgb="FFECFFE1"/>
        <bgColor indexed="64"/>
      </patternFill>
    </fill>
    <fill>
      <patternFill patternType="solid">
        <fgColor rgb="FF27D7E7"/>
        <bgColor indexed="64"/>
      </patternFill>
    </fill>
    <fill>
      <patternFill patternType="solid">
        <fgColor rgb="FF6CE4EF"/>
        <bgColor indexed="64"/>
      </patternFill>
    </fill>
    <fill>
      <patternFill patternType="solid">
        <fgColor rgb="FFC4F4F8"/>
        <bgColor indexed="64"/>
      </patternFill>
    </fill>
    <fill>
      <patternFill patternType="solid">
        <fgColor rgb="FFFFADAD"/>
        <bgColor indexed="64"/>
      </patternFill>
    </fill>
    <fill>
      <patternFill patternType="solid">
        <fgColor rgb="FFFFD6A5"/>
        <bgColor indexed="64"/>
      </patternFill>
    </fill>
    <fill>
      <patternFill patternType="solid">
        <fgColor rgb="FFFDFFB6"/>
        <bgColor indexed="64"/>
      </patternFill>
    </fill>
    <fill>
      <patternFill patternType="solid">
        <fgColor rgb="FFCAFFBF"/>
        <bgColor indexed="64"/>
      </patternFill>
    </fill>
    <fill>
      <patternFill patternType="solid">
        <fgColor rgb="FF9BF6FF"/>
        <bgColor indexed="64"/>
      </patternFill>
    </fill>
    <fill>
      <patternFill patternType="solid">
        <fgColor rgb="FFA0C4FF"/>
        <bgColor indexed="64"/>
      </patternFill>
    </fill>
    <fill>
      <patternFill patternType="solid">
        <fgColor rgb="FFBDB2FF"/>
        <bgColor indexed="64"/>
      </patternFill>
    </fill>
    <fill>
      <patternFill patternType="solid">
        <fgColor rgb="FFFFC6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2" fillId="4" borderId="2" applyNumberFormat="0" applyFill="0" applyBorder="0" applyAlignment="0" applyProtection="0">
      <alignment horizontal="center"/>
    </xf>
    <xf numFmtId="9" fontId="6" fillId="0" borderId="0" applyFont="0" applyFill="0" applyBorder="0" applyAlignment="0" applyProtection="0"/>
    <xf numFmtId="0" fontId="1" fillId="0" borderId="4" applyNumberFormat="0" applyBorder="0" applyAlignment="0" applyProtection="0">
      <alignment horizontal="center" vertical="center"/>
    </xf>
    <xf numFmtId="0" fontId="1" fillId="30" borderId="12" applyNumberFormat="0" applyFont="0" applyBorder="0" applyAlignment="0" applyProtection="0">
      <alignment horizontal="center" vertical="center"/>
    </xf>
  </cellStyleXfs>
  <cellXfs count="62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center" wrapText="1"/>
    </xf>
    <xf numFmtId="0" fontId="0" fillId="0" borderId="10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</xf>
    <xf numFmtId="0" fontId="0" fillId="0" borderId="10" xfId="0" applyBorder="1" applyProtection="1"/>
    <xf numFmtId="0" fontId="0" fillId="2" borderId="10" xfId="0" applyFill="1" applyBorder="1" applyProtection="1"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right"/>
    </xf>
    <xf numFmtId="0" fontId="9" fillId="0" borderId="6" xfId="0" applyFont="1" applyBorder="1" applyAlignment="1" applyProtection="1">
      <alignment horizontal="center" vertical="center"/>
    </xf>
    <xf numFmtId="0" fontId="0" fillId="3" borderId="0" xfId="0" applyFill="1" applyProtection="1"/>
    <xf numFmtId="0" fontId="0" fillId="0" borderId="0" xfId="0" applyAlignment="1" applyProtection="1">
      <alignment wrapText="1"/>
    </xf>
    <xf numFmtId="0" fontId="5" fillId="0" borderId="10" xfId="0" applyFont="1" applyBorder="1" applyAlignment="1" applyProtection="1">
      <alignment horizontal="right"/>
    </xf>
    <xf numFmtId="10" fontId="0" fillId="0" borderId="0" xfId="2" applyNumberFormat="1" applyFont="1" applyProtection="1"/>
    <xf numFmtId="10" fontId="0" fillId="0" borderId="0" xfId="0" applyNumberFormat="1" applyProtection="1"/>
    <xf numFmtId="0" fontId="5" fillId="0" borderId="10" xfId="0" applyFont="1" applyBorder="1" applyAlignment="1" applyProtection="1">
      <alignment horizontal="center" vertical="center"/>
    </xf>
    <xf numFmtId="0" fontId="10" fillId="3" borderId="0" xfId="0" applyFont="1" applyFill="1" applyProtection="1"/>
    <xf numFmtId="0" fontId="11" fillId="5" borderId="10" xfId="0" applyFont="1" applyFill="1" applyBorder="1" applyProtection="1"/>
    <xf numFmtId="0" fontId="0" fillId="6" borderId="10" xfId="0" applyFill="1" applyBorder="1" applyProtection="1"/>
    <xf numFmtId="0" fontId="0" fillId="7" borderId="10" xfId="0" applyFill="1" applyBorder="1" applyProtection="1"/>
    <xf numFmtId="0" fontId="10" fillId="8" borderId="0" xfId="0" applyFont="1" applyFill="1" applyProtection="1"/>
    <xf numFmtId="0" fontId="0" fillId="9" borderId="10" xfId="0" applyFill="1" applyBorder="1" applyProtection="1"/>
    <xf numFmtId="0" fontId="0" fillId="10" borderId="10" xfId="0" applyFill="1" applyBorder="1" applyProtection="1"/>
    <xf numFmtId="0" fontId="0" fillId="11" borderId="10" xfId="0" applyFill="1" applyBorder="1" applyProtection="1"/>
    <xf numFmtId="0" fontId="0" fillId="12" borderId="10" xfId="0" applyFill="1" applyBorder="1" applyProtection="1"/>
    <xf numFmtId="0" fontId="0" fillId="13" borderId="10" xfId="0" applyFill="1" applyBorder="1" applyProtection="1"/>
    <xf numFmtId="0" fontId="0" fillId="14" borderId="10" xfId="0" applyFill="1" applyBorder="1" applyProtection="1"/>
    <xf numFmtId="0" fontId="10" fillId="15" borderId="10" xfId="0" applyFont="1" applyFill="1" applyBorder="1" applyProtection="1"/>
    <xf numFmtId="0" fontId="0" fillId="16" borderId="10" xfId="0" applyFill="1" applyBorder="1" applyProtection="1"/>
    <xf numFmtId="0" fontId="0" fillId="17" borderId="0" xfId="0" applyFill="1" applyProtection="1"/>
    <xf numFmtId="0" fontId="0" fillId="18" borderId="10" xfId="0" applyFill="1" applyBorder="1" applyProtection="1"/>
    <xf numFmtId="0" fontId="0" fillId="19" borderId="10" xfId="0" applyFill="1" applyBorder="1" applyProtection="1"/>
    <xf numFmtId="0" fontId="0" fillId="0" borderId="10" xfId="0" applyBorder="1" applyAlignment="1" applyProtection="1">
      <protection locked="0"/>
    </xf>
    <xf numFmtId="0" fontId="0" fillId="20" borderId="10" xfId="0" applyFill="1" applyBorder="1" applyProtection="1"/>
    <xf numFmtId="0" fontId="0" fillId="21" borderId="10" xfId="0" applyFill="1" applyBorder="1" applyProtection="1"/>
    <xf numFmtId="0" fontId="10" fillId="22" borderId="10" xfId="0" applyFont="1" applyFill="1" applyBorder="1" applyProtection="1"/>
    <xf numFmtId="0" fontId="0" fillId="23" borderId="10" xfId="0" applyFill="1" applyBorder="1" applyProtection="1"/>
    <xf numFmtId="0" fontId="0" fillId="24" borderId="10" xfId="0" applyFill="1" applyBorder="1" applyProtection="1"/>
    <xf numFmtId="0" fontId="0" fillId="25" borderId="10" xfId="0" applyFill="1" applyBorder="1" applyProtection="1"/>
    <xf numFmtId="0" fontId="0" fillId="26" borderId="10" xfId="0" applyFill="1" applyBorder="1" applyProtection="1"/>
    <xf numFmtId="0" fontId="0" fillId="27" borderId="10" xfId="0" applyFill="1" applyBorder="1" applyProtection="1"/>
    <xf numFmtId="0" fontId="7" fillId="28" borderId="3" xfId="0" applyFont="1" applyFill="1" applyBorder="1" applyAlignment="1" applyProtection="1">
      <alignment horizontal="center" vertical="center"/>
      <protection locked="0"/>
    </xf>
    <xf numFmtId="0" fontId="7" fillId="28" borderId="2" xfId="0" applyFont="1" applyFill="1" applyBorder="1" applyAlignment="1" applyProtection="1">
      <alignment horizontal="center" vertical="center"/>
      <protection locked="0"/>
    </xf>
    <xf numFmtId="0" fontId="7" fillId="28" borderId="0" xfId="0" applyFont="1" applyFill="1" applyAlignment="1" applyProtection="1">
      <alignment horizontal="center" vertical="center"/>
      <protection locked="0"/>
    </xf>
    <xf numFmtId="0" fontId="7" fillId="28" borderId="1" xfId="0" applyFont="1" applyFill="1" applyBorder="1" applyAlignment="1" applyProtection="1">
      <alignment horizontal="center" vertical="center"/>
      <protection locked="0"/>
    </xf>
    <xf numFmtId="0" fontId="7" fillId="28" borderId="9" xfId="0" applyFont="1" applyFill="1" applyBorder="1" applyAlignment="1" applyProtection="1">
      <alignment horizontal="center" vertical="center"/>
      <protection locked="0"/>
    </xf>
    <xf numFmtId="0" fontId="7" fillId="28" borderId="6" xfId="0" applyFont="1" applyFill="1" applyBorder="1" applyAlignment="1" applyProtection="1">
      <alignment horizontal="center" vertical="center"/>
      <protection locked="0"/>
    </xf>
    <xf numFmtId="0" fontId="7" fillId="28" borderId="7" xfId="0" applyFont="1" applyFill="1" applyBorder="1" applyAlignment="1" applyProtection="1">
      <alignment horizontal="center" vertical="center"/>
      <protection locked="0"/>
    </xf>
    <xf numFmtId="0" fontId="7" fillId="28" borderId="5" xfId="0" applyFont="1" applyFill="1" applyBorder="1" applyAlignment="1" applyProtection="1">
      <alignment horizontal="center" vertical="center"/>
      <protection locked="0"/>
    </xf>
    <xf numFmtId="0" fontId="7" fillId="28" borderId="8" xfId="0" applyFont="1" applyFill="1" applyBorder="1" applyAlignment="1" applyProtection="1">
      <alignment horizontal="center" vertical="center"/>
      <protection locked="0"/>
    </xf>
    <xf numFmtId="0" fontId="11" fillId="28" borderId="9" xfId="0" applyFont="1" applyFill="1" applyBorder="1" applyAlignment="1" applyProtection="1">
      <alignment horizontal="center" vertical="center"/>
      <protection locked="0"/>
    </xf>
    <xf numFmtId="0" fontId="11" fillId="28" borderId="6" xfId="0" applyFont="1" applyFill="1" applyBorder="1" applyAlignment="1" applyProtection="1">
      <alignment horizontal="center" vertical="center"/>
      <protection locked="0"/>
    </xf>
    <xf numFmtId="0" fontId="12" fillId="0" borderId="10" xfId="0" applyFont="1" applyBorder="1" applyAlignment="1" applyProtection="1">
      <alignment horizontal="center" vertical="center"/>
    </xf>
    <xf numFmtId="0" fontId="7" fillId="28" borderId="0" xfId="0" applyFont="1" applyFill="1" applyBorder="1" applyAlignment="1" applyProtection="1">
      <alignment horizontal="center" vertical="center"/>
      <protection locked="0"/>
    </xf>
    <xf numFmtId="165" fontId="0" fillId="0" borderId="0" xfId="0" applyNumberFormat="1" applyProtection="1"/>
    <xf numFmtId="0" fontId="8" fillId="29" borderId="0" xfId="0" applyFont="1" applyFill="1" applyAlignment="1" applyProtection="1">
      <alignment vertical="center"/>
    </xf>
    <xf numFmtId="0" fontId="5" fillId="0" borderId="10" xfId="0" applyFont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2" borderId="13" xfId="0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/>
    </xf>
  </cellXfs>
  <cellStyles count="5">
    <cellStyle name="nocka" xfId="1" xr:uid="{00000000-0005-0000-0000-000001000000}"/>
    <cellStyle name="Normalny" xfId="0" builtinId="0"/>
    <cellStyle name="PORTIER" xfId="4" xr:uid="{9FE5584C-F336-412B-889E-F3619AD3F72D}"/>
    <cellStyle name="Procentowy" xfId="2" builtinId="5"/>
    <cellStyle name="RESET" xfId="3" xr:uid="{B3E8DC49-E5EA-425F-8824-204C7985043F}"/>
  </cellStyles>
  <dxfs count="1">
    <dxf>
      <font>
        <b val="0"/>
        <i val="0"/>
        <color theme="1"/>
      </font>
      <numFmt numFmtId="30" formatCode="@"/>
      <fill>
        <patternFill patternType="lightTrellis">
          <fgColor theme="0" tint="-0.14996795556505021"/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66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6666FF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FFB6"/>
      <color rgb="FF000000"/>
      <color rgb="FFFFC6FF"/>
      <color rgb="FFBDB2FF"/>
      <color rgb="FFA0C4FF"/>
      <color rgb="FF9BF6FF"/>
      <color rgb="FFCAFFBF"/>
      <color rgb="FFFFD6A5"/>
      <color rgb="FFFFADAD"/>
      <color rgb="FFC4F4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15240</xdr:rowOff>
        </xdr:from>
        <xdr:to>
          <xdr:col>6</xdr:col>
          <xdr:colOff>1120140</xdr:colOff>
          <xdr:row>21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plan pracy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12</xdr:row>
          <xdr:rowOff>38100</xdr:rowOff>
        </xdr:from>
        <xdr:to>
          <xdr:col>9</xdr:col>
          <xdr:colOff>1043940</xdr:colOff>
          <xdr:row>13</xdr:row>
          <xdr:rowOff>144780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15240</xdr:rowOff>
        </xdr:from>
        <xdr:to>
          <xdr:col>6</xdr:col>
          <xdr:colOff>1120140</xdr:colOff>
          <xdr:row>24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karty pracy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7dc49e3cdf7da81d/Documents/ND/GRAFIK%202021/Grafik-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czeń 2021"/>
      <sheetName val="Luty 2021"/>
      <sheetName val="Marzec 2021 Jeleń fufu"/>
      <sheetName val="Marzec 2021"/>
      <sheetName val="Kwiecień 2021"/>
    </sheetNames>
    <sheetDataSet>
      <sheetData sheetId="0" refreshError="1"/>
      <sheetData sheetId="1" refreshError="1"/>
      <sheetData sheetId="2">
        <row r="2">
          <cell r="M2" t="str">
            <v>sb</v>
          </cell>
          <cell r="O2" t="str">
            <v>nd</v>
          </cell>
          <cell r="AA2" t="str">
            <v>sb</v>
          </cell>
          <cell r="AC2" t="str">
            <v>nd</v>
          </cell>
          <cell r="AO2" t="str">
            <v>sb</v>
          </cell>
          <cell r="AQ2" t="str">
            <v>nd</v>
          </cell>
          <cell r="BC2" t="str">
            <v>sb</v>
          </cell>
          <cell r="BE2" t="str">
            <v>nd</v>
          </cell>
        </row>
        <row r="3">
          <cell r="M3">
            <v>44261</v>
          </cell>
          <cell r="O3">
            <v>44262</v>
          </cell>
          <cell r="AA3">
            <v>44268</v>
          </cell>
          <cell r="AC3">
            <v>44269</v>
          </cell>
          <cell r="AO3">
            <v>44275</v>
          </cell>
          <cell r="AQ3">
            <v>44276</v>
          </cell>
          <cell r="BC3">
            <v>44282</v>
          </cell>
          <cell r="BE3">
            <v>44283</v>
          </cell>
        </row>
        <row r="4">
          <cell r="M4">
            <v>8</v>
          </cell>
          <cell r="O4">
            <v>8</v>
          </cell>
          <cell r="AA4">
            <v>0</v>
          </cell>
          <cell r="AC4">
            <v>6</v>
          </cell>
          <cell r="AO4">
            <v>12</v>
          </cell>
          <cell r="AQ4">
            <v>0</v>
          </cell>
          <cell r="BC4">
            <v>0</v>
          </cell>
          <cell r="BE4">
            <v>8</v>
          </cell>
        </row>
        <row r="5">
          <cell r="M5">
            <v>9</v>
          </cell>
          <cell r="N5">
            <v>17</v>
          </cell>
          <cell r="O5">
            <v>8</v>
          </cell>
          <cell r="P5">
            <v>16</v>
          </cell>
          <cell r="AC5">
            <v>8</v>
          </cell>
          <cell r="AD5">
            <v>14</v>
          </cell>
          <cell r="AO5">
            <v>8</v>
          </cell>
          <cell r="AP5">
            <v>20</v>
          </cell>
          <cell r="BE5">
            <v>9</v>
          </cell>
          <cell r="BF5">
            <v>17</v>
          </cell>
        </row>
        <row r="6">
          <cell r="M6">
            <v>12</v>
          </cell>
          <cell r="O6">
            <v>0</v>
          </cell>
          <cell r="AA6">
            <v>12</v>
          </cell>
          <cell r="AC6">
            <v>0</v>
          </cell>
          <cell r="AO6">
            <v>0</v>
          </cell>
          <cell r="AQ6">
            <v>8</v>
          </cell>
          <cell r="BC6">
            <v>0</v>
          </cell>
          <cell r="BE6">
            <v>0</v>
          </cell>
        </row>
        <row r="7">
          <cell r="M7">
            <v>20</v>
          </cell>
          <cell r="N7">
            <v>8</v>
          </cell>
          <cell r="AA7">
            <v>20</v>
          </cell>
          <cell r="AB7">
            <v>8</v>
          </cell>
          <cell r="AQ7">
            <v>8</v>
          </cell>
          <cell r="AR7">
            <v>16</v>
          </cell>
        </row>
        <row r="8">
          <cell r="M8">
            <v>0</v>
          </cell>
          <cell r="O8">
            <v>0</v>
          </cell>
          <cell r="AA8">
            <v>0</v>
          </cell>
          <cell r="AC8">
            <v>8</v>
          </cell>
          <cell r="AO8">
            <v>0</v>
          </cell>
          <cell r="AQ8">
            <v>0</v>
          </cell>
          <cell r="BC8">
            <v>12</v>
          </cell>
          <cell r="BE8">
            <v>0</v>
          </cell>
        </row>
        <row r="9">
          <cell r="M9" t="str">
            <v>!</v>
          </cell>
          <cell r="O9" t="str">
            <v>!</v>
          </cell>
          <cell r="AC9">
            <v>12</v>
          </cell>
          <cell r="AD9">
            <v>20</v>
          </cell>
          <cell r="BC9">
            <v>20</v>
          </cell>
          <cell r="BD9">
            <v>8</v>
          </cell>
        </row>
        <row r="10">
          <cell r="M10">
            <v>0</v>
          </cell>
          <cell r="O10">
            <v>12</v>
          </cell>
          <cell r="AA10">
            <v>12</v>
          </cell>
          <cell r="AC10">
            <v>0</v>
          </cell>
          <cell r="AO10">
            <v>12</v>
          </cell>
          <cell r="AQ10">
            <v>0</v>
          </cell>
          <cell r="BC10">
            <v>12</v>
          </cell>
          <cell r="BE10">
            <v>0</v>
          </cell>
        </row>
        <row r="11">
          <cell r="O11">
            <v>8</v>
          </cell>
          <cell r="P11">
            <v>20</v>
          </cell>
          <cell r="AA11">
            <v>8</v>
          </cell>
          <cell r="AB11">
            <v>20</v>
          </cell>
          <cell r="AO11">
            <v>20</v>
          </cell>
          <cell r="AP11">
            <v>8</v>
          </cell>
          <cell r="BC11">
            <v>8</v>
          </cell>
          <cell r="BD11">
            <v>20</v>
          </cell>
        </row>
        <row r="12">
          <cell r="M12">
            <v>13</v>
          </cell>
          <cell r="O12">
            <v>0</v>
          </cell>
          <cell r="AA12">
            <v>0</v>
          </cell>
          <cell r="AC12">
            <v>12</v>
          </cell>
          <cell r="AO12">
            <v>0</v>
          </cell>
          <cell r="AQ12">
            <v>0</v>
          </cell>
          <cell r="BC12">
            <v>12</v>
          </cell>
          <cell r="BE12">
            <v>0</v>
          </cell>
        </row>
        <row r="13">
          <cell r="M13">
            <v>9</v>
          </cell>
          <cell r="N13">
            <v>22</v>
          </cell>
          <cell r="P13" t="str">
            <v>!</v>
          </cell>
          <cell r="AC13">
            <v>20</v>
          </cell>
          <cell r="AD13">
            <v>8</v>
          </cell>
          <cell r="AO13" t="str">
            <v>!</v>
          </cell>
          <cell r="AQ13" t="str">
            <v>!</v>
          </cell>
          <cell r="BC13">
            <v>8</v>
          </cell>
          <cell r="BD13">
            <v>20</v>
          </cell>
        </row>
        <row r="14">
          <cell r="M14">
            <v>12</v>
          </cell>
          <cell r="O14">
            <v>12</v>
          </cell>
          <cell r="AA14">
            <v>12</v>
          </cell>
          <cell r="AC14">
            <v>0</v>
          </cell>
          <cell r="AO14">
            <v>0</v>
          </cell>
          <cell r="AQ14">
            <v>12</v>
          </cell>
          <cell r="BC14">
            <v>0</v>
          </cell>
          <cell r="BE14">
            <v>12</v>
          </cell>
        </row>
        <row r="15">
          <cell r="M15" t="str">
            <v>u</v>
          </cell>
          <cell r="O15" t="str">
            <v>u</v>
          </cell>
          <cell r="AA15">
            <v>8</v>
          </cell>
          <cell r="AB15">
            <v>20</v>
          </cell>
          <cell r="AQ15">
            <v>8</v>
          </cell>
          <cell r="AR15">
            <v>20</v>
          </cell>
          <cell r="BE15">
            <v>8</v>
          </cell>
          <cell r="BF15">
            <v>20</v>
          </cell>
        </row>
        <row r="16">
          <cell r="M16">
            <v>12</v>
          </cell>
          <cell r="O16">
            <v>8</v>
          </cell>
          <cell r="AA16">
            <v>0</v>
          </cell>
          <cell r="AC16">
            <v>12</v>
          </cell>
          <cell r="AO16">
            <v>0</v>
          </cell>
          <cell r="AQ16">
            <v>6</v>
          </cell>
          <cell r="BC16">
            <v>12</v>
          </cell>
          <cell r="BE16">
            <v>0</v>
          </cell>
        </row>
        <row r="17">
          <cell r="M17">
            <v>8</v>
          </cell>
          <cell r="N17">
            <v>20</v>
          </cell>
          <cell r="O17">
            <v>8</v>
          </cell>
          <cell r="P17">
            <v>16</v>
          </cell>
          <cell r="AC17">
            <v>8</v>
          </cell>
          <cell r="AD17">
            <v>20</v>
          </cell>
          <cell r="AQ17">
            <v>9</v>
          </cell>
          <cell r="AR17">
            <v>15</v>
          </cell>
          <cell r="BC17">
            <v>18</v>
          </cell>
          <cell r="BD17">
            <v>6</v>
          </cell>
        </row>
        <row r="18">
          <cell r="M18">
            <v>12</v>
          </cell>
          <cell r="O18">
            <v>0</v>
          </cell>
          <cell r="AA18">
            <v>0</v>
          </cell>
          <cell r="AC18">
            <v>8</v>
          </cell>
          <cell r="AO18">
            <v>0</v>
          </cell>
          <cell r="AQ18">
            <v>12</v>
          </cell>
          <cell r="BC18">
            <v>0</v>
          </cell>
          <cell r="BE18">
            <v>12</v>
          </cell>
        </row>
        <row r="19">
          <cell r="M19">
            <v>20</v>
          </cell>
          <cell r="N19">
            <v>8</v>
          </cell>
          <cell r="AC19">
            <v>8</v>
          </cell>
          <cell r="AD19">
            <v>16</v>
          </cell>
          <cell r="AQ19">
            <v>20</v>
          </cell>
          <cell r="AR19">
            <v>8</v>
          </cell>
          <cell r="BE19">
            <v>8</v>
          </cell>
          <cell r="BF19">
            <v>20</v>
          </cell>
        </row>
        <row r="20">
          <cell r="M20">
            <v>0</v>
          </cell>
          <cell r="O20">
            <v>12</v>
          </cell>
          <cell r="AA20">
            <v>12</v>
          </cell>
          <cell r="AC20">
            <v>0</v>
          </cell>
          <cell r="AO20">
            <v>8</v>
          </cell>
          <cell r="AQ20">
            <v>0</v>
          </cell>
          <cell r="BC20">
            <v>0</v>
          </cell>
          <cell r="BE20">
            <v>12</v>
          </cell>
        </row>
        <row r="21">
          <cell r="O21">
            <v>20</v>
          </cell>
          <cell r="P21">
            <v>8</v>
          </cell>
          <cell r="AA21">
            <v>20</v>
          </cell>
          <cell r="AB21">
            <v>8</v>
          </cell>
          <cell r="AO21">
            <v>20</v>
          </cell>
          <cell r="AP21">
            <v>4</v>
          </cell>
          <cell r="AQ21" t="str">
            <v>!</v>
          </cell>
          <cell r="BE21">
            <v>20</v>
          </cell>
          <cell r="BF21">
            <v>8</v>
          </cell>
        </row>
        <row r="22">
          <cell r="M22">
            <v>0</v>
          </cell>
          <cell r="O22">
            <v>0</v>
          </cell>
          <cell r="AA22">
            <v>9</v>
          </cell>
          <cell r="AC22">
            <v>12</v>
          </cell>
          <cell r="AO22">
            <v>0</v>
          </cell>
          <cell r="AQ22">
            <v>0</v>
          </cell>
          <cell r="BC22">
            <v>0</v>
          </cell>
          <cell r="BE22">
            <v>0</v>
          </cell>
        </row>
        <row r="23">
          <cell r="M23" t="str">
            <v>!</v>
          </cell>
          <cell r="O23" t="str">
            <v>!</v>
          </cell>
          <cell r="AA23">
            <v>14</v>
          </cell>
          <cell r="AB23">
            <v>23</v>
          </cell>
          <cell r="AC23">
            <v>14</v>
          </cell>
          <cell r="AD23">
            <v>2</v>
          </cell>
          <cell r="BC23" t="str">
            <v>uw</v>
          </cell>
          <cell r="BE23" t="str">
            <v>uw</v>
          </cell>
        </row>
        <row r="24">
          <cell r="M24">
            <v>9</v>
          </cell>
          <cell r="O24">
            <v>12</v>
          </cell>
          <cell r="AA24">
            <v>8</v>
          </cell>
          <cell r="AC24">
            <v>0</v>
          </cell>
          <cell r="AO24">
            <v>12</v>
          </cell>
          <cell r="AQ24">
            <v>12</v>
          </cell>
          <cell r="BC24">
            <v>0</v>
          </cell>
          <cell r="BE24">
            <v>0</v>
          </cell>
        </row>
        <row r="25">
          <cell r="M25">
            <v>14</v>
          </cell>
          <cell r="N25">
            <v>23</v>
          </cell>
          <cell r="O25">
            <v>14</v>
          </cell>
          <cell r="P25">
            <v>2</v>
          </cell>
          <cell r="AA25">
            <v>10</v>
          </cell>
          <cell r="AB25">
            <v>18</v>
          </cell>
          <cell r="AO25">
            <v>8</v>
          </cell>
          <cell r="AP25">
            <v>20</v>
          </cell>
          <cell r="AQ25">
            <v>8</v>
          </cell>
          <cell r="AR25">
            <v>20</v>
          </cell>
        </row>
        <row r="26">
          <cell r="M26">
            <v>0</v>
          </cell>
          <cell r="O26">
            <v>12</v>
          </cell>
          <cell r="AA26">
            <v>0</v>
          </cell>
          <cell r="AC26">
            <v>12</v>
          </cell>
          <cell r="AO26">
            <v>0</v>
          </cell>
          <cell r="AQ26">
            <v>0</v>
          </cell>
          <cell r="BC26">
            <v>12</v>
          </cell>
          <cell r="BE26">
            <v>8</v>
          </cell>
        </row>
        <row r="27">
          <cell r="M27" t="str">
            <v>!</v>
          </cell>
          <cell r="O27">
            <v>8</v>
          </cell>
          <cell r="P27">
            <v>20</v>
          </cell>
          <cell r="AA27" t="str">
            <v>!</v>
          </cell>
          <cell r="AC27">
            <v>8</v>
          </cell>
          <cell r="AD27">
            <v>20</v>
          </cell>
          <cell r="AO27" t="str">
            <v>!</v>
          </cell>
          <cell r="BC27">
            <v>8</v>
          </cell>
          <cell r="BD27">
            <v>20</v>
          </cell>
          <cell r="BE27">
            <v>8</v>
          </cell>
          <cell r="BF27">
            <v>16</v>
          </cell>
        </row>
        <row r="28">
          <cell r="M28">
            <v>12</v>
          </cell>
          <cell r="O28">
            <v>0</v>
          </cell>
          <cell r="AA28">
            <v>0</v>
          </cell>
          <cell r="AC28">
            <v>0</v>
          </cell>
          <cell r="AO28">
            <v>12</v>
          </cell>
          <cell r="AQ28">
            <v>12</v>
          </cell>
          <cell r="BC28">
            <v>9</v>
          </cell>
          <cell r="BE28">
            <v>0</v>
          </cell>
        </row>
        <row r="29">
          <cell r="M29">
            <v>8</v>
          </cell>
          <cell r="N29">
            <v>20</v>
          </cell>
          <cell r="AO29">
            <v>8</v>
          </cell>
          <cell r="AP29">
            <v>20</v>
          </cell>
          <cell r="AQ29">
            <v>20</v>
          </cell>
          <cell r="AR29">
            <v>8</v>
          </cell>
          <cell r="BC29">
            <v>14</v>
          </cell>
          <cell r="BD29">
            <v>23</v>
          </cell>
        </row>
        <row r="30">
          <cell r="M30">
            <v>12</v>
          </cell>
          <cell r="O30">
            <v>0</v>
          </cell>
          <cell r="AA30">
            <v>12</v>
          </cell>
          <cell r="AC30">
            <v>0</v>
          </cell>
          <cell r="AO30">
            <v>12</v>
          </cell>
          <cell r="AQ30">
            <v>0</v>
          </cell>
          <cell r="BC30">
            <v>0</v>
          </cell>
          <cell r="BE30">
            <v>0</v>
          </cell>
        </row>
        <row r="31">
          <cell r="M31">
            <v>8</v>
          </cell>
          <cell r="N31">
            <v>20</v>
          </cell>
          <cell r="AA31">
            <v>8</v>
          </cell>
          <cell r="AB31">
            <v>20</v>
          </cell>
          <cell r="AO31">
            <v>8</v>
          </cell>
          <cell r="AP31">
            <v>20</v>
          </cell>
        </row>
        <row r="34">
          <cell r="M34">
            <v>0</v>
          </cell>
          <cell r="O34">
            <v>12</v>
          </cell>
          <cell r="AA34">
            <v>0</v>
          </cell>
          <cell r="AC34">
            <v>12</v>
          </cell>
          <cell r="AO34">
            <v>0</v>
          </cell>
          <cell r="AQ34">
            <v>0</v>
          </cell>
          <cell r="BC34">
            <v>0</v>
          </cell>
          <cell r="BE34">
            <v>0</v>
          </cell>
        </row>
        <row r="35">
          <cell r="M35" t="str">
            <v>L4</v>
          </cell>
          <cell r="O35" t="str">
            <v>L4</v>
          </cell>
          <cell r="AC35">
            <v>7</v>
          </cell>
          <cell r="AD35">
            <v>19</v>
          </cell>
          <cell r="AO35" t="str">
            <v>!</v>
          </cell>
          <cell r="BE35" t="str">
            <v>!</v>
          </cell>
        </row>
        <row r="36">
          <cell r="M36">
            <v>12</v>
          </cell>
          <cell r="O36">
            <v>0</v>
          </cell>
          <cell r="AA36">
            <v>12</v>
          </cell>
          <cell r="AC36">
            <v>0</v>
          </cell>
          <cell r="AO36">
            <v>0</v>
          </cell>
          <cell r="AQ36">
            <v>0</v>
          </cell>
          <cell r="BC36">
            <v>0</v>
          </cell>
          <cell r="BE36">
            <v>0</v>
          </cell>
        </row>
        <row r="37">
          <cell r="M37">
            <v>12</v>
          </cell>
          <cell r="N37">
            <v>24</v>
          </cell>
          <cell r="AA37">
            <v>19</v>
          </cell>
          <cell r="AB37">
            <v>7</v>
          </cell>
        </row>
        <row r="38">
          <cell r="M38">
            <v>12</v>
          </cell>
          <cell r="O38">
            <v>0</v>
          </cell>
          <cell r="AA38">
            <v>0</v>
          </cell>
          <cell r="AC38">
            <v>12</v>
          </cell>
          <cell r="AO38">
            <v>0</v>
          </cell>
          <cell r="AQ38">
            <v>0</v>
          </cell>
          <cell r="BC38">
            <v>0</v>
          </cell>
          <cell r="BE38">
            <v>0</v>
          </cell>
        </row>
        <row r="39">
          <cell r="M39" t="str">
            <v>L4</v>
          </cell>
          <cell r="AC39">
            <v>19</v>
          </cell>
          <cell r="AD39">
            <v>7</v>
          </cell>
        </row>
        <row r="40">
          <cell r="M40">
            <v>0</v>
          </cell>
          <cell r="O40">
            <v>12</v>
          </cell>
          <cell r="AA40">
            <v>0</v>
          </cell>
          <cell r="AC40">
            <v>0</v>
          </cell>
          <cell r="AO40">
            <v>0</v>
          </cell>
          <cell r="AQ40">
            <v>12</v>
          </cell>
          <cell r="BC40">
            <v>0</v>
          </cell>
          <cell r="BE40">
            <v>0</v>
          </cell>
        </row>
        <row r="41">
          <cell r="M41" t="str">
            <v>!</v>
          </cell>
          <cell r="O41">
            <v>19</v>
          </cell>
          <cell r="P41">
            <v>7</v>
          </cell>
          <cell r="AO41" t="str">
            <v>!</v>
          </cell>
          <cell r="AQ41">
            <v>19</v>
          </cell>
          <cell r="AR41">
            <v>7</v>
          </cell>
        </row>
      </sheetData>
      <sheetData sheetId="3" refreshError="1"/>
      <sheetData sheetId="4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Aerodynamiczny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enerator"/>
  <dimension ref="A1:T43"/>
  <sheetViews>
    <sheetView tabSelected="1" zoomScale="55" zoomScaleNormal="55" workbookViewId="0">
      <selection activeCell="J18" sqref="J18:K35"/>
    </sheetView>
  </sheetViews>
  <sheetFormatPr defaultColWidth="8.77734375" defaultRowHeight="14.4" x14ac:dyDescent="0.3"/>
  <cols>
    <col min="1" max="1" width="8.77734375" style="1"/>
    <col min="2" max="3" width="17.21875" style="1" bestFit="1" customWidth="1"/>
    <col min="4" max="4" width="17.21875" style="1" customWidth="1"/>
    <col min="5" max="5" width="9.21875" style="1" bestFit="1" customWidth="1"/>
    <col min="6" max="6" width="10" style="1" bestFit="1" customWidth="1"/>
    <col min="7" max="7" width="17.21875" style="1" customWidth="1"/>
    <col min="8" max="8" width="29.77734375" style="11" bestFit="1" customWidth="1"/>
    <col min="9" max="9" width="9.21875" style="1" customWidth="1"/>
    <col min="10" max="10" width="23" style="1" customWidth="1"/>
    <col min="11" max="11" width="22.21875" style="1" customWidth="1"/>
    <col min="12" max="13" width="12.21875" style="1" customWidth="1"/>
    <col min="14" max="14" width="8.77734375" style="1" customWidth="1"/>
    <col min="15" max="15" width="9" style="1" customWidth="1"/>
    <col min="16" max="16" width="8.77734375" style="1" customWidth="1"/>
    <col min="17" max="17" width="9.21875" style="1" customWidth="1"/>
    <col min="18" max="21" width="8.77734375" style="1" customWidth="1"/>
    <col min="22" max="16384" width="8.77734375" style="1"/>
  </cols>
  <sheetData>
    <row r="1" spans="1:20" x14ac:dyDescent="0.3">
      <c r="A1" s="10"/>
      <c r="J1" s="61" t="s">
        <v>23</v>
      </c>
      <c r="K1" s="61"/>
      <c r="M1" s="33"/>
      <c r="N1" s="34"/>
      <c r="O1" s="35"/>
      <c r="P1" s="17"/>
      <c r="Q1" s="20"/>
      <c r="R1" s="25"/>
      <c r="S1" s="26"/>
      <c r="T1" s="29"/>
    </row>
    <row r="2" spans="1:20" ht="15.6" customHeight="1" x14ac:dyDescent="0.3">
      <c r="B2" s="12" t="s">
        <v>48</v>
      </c>
      <c r="C2" s="6" t="s">
        <v>49</v>
      </c>
      <c r="J2" s="61"/>
      <c r="K2" s="61"/>
      <c r="M2" s="36"/>
      <c r="N2" s="37"/>
      <c r="O2" s="38"/>
      <c r="P2" s="18"/>
      <c r="Q2" s="21"/>
      <c r="R2" s="23"/>
      <c r="S2" s="27"/>
      <c r="T2" s="30"/>
    </row>
    <row r="3" spans="1:20" ht="28.8" x14ac:dyDescent="0.3">
      <c r="C3" s="9" t="s">
        <v>1</v>
      </c>
      <c r="D3" s="52" t="s">
        <v>50</v>
      </c>
      <c r="E3" s="15" t="s">
        <v>19</v>
      </c>
      <c r="F3" s="3" t="s">
        <v>2</v>
      </c>
      <c r="G3" s="4" t="s">
        <v>3</v>
      </c>
      <c r="H3" s="3" t="s">
        <v>4</v>
      </c>
      <c r="K3" s="2"/>
      <c r="M3" s="39"/>
      <c r="N3" s="40"/>
      <c r="O3" s="5"/>
      <c r="P3" s="19"/>
      <c r="Q3" s="22"/>
      <c r="R3" s="24"/>
      <c r="S3" s="28"/>
      <c r="T3" s="31"/>
    </row>
    <row r="4" spans="1:20" ht="15.6" customHeight="1" x14ac:dyDescent="0.3">
      <c r="A4" s="56" t="s">
        <v>25</v>
      </c>
      <c r="B4" s="8" t="s">
        <v>17</v>
      </c>
      <c r="C4" s="41" t="s">
        <v>86</v>
      </c>
      <c r="D4" s="41"/>
      <c r="E4" s="7">
        <v>2021</v>
      </c>
      <c r="F4" s="5" t="s">
        <v>5</v>
      </c>
      <c r="G4" s="7">
        <v>152</v>
      </c>
      <c r="H4" s="32"/>
      <c r="J4" s="1" t="s">
        <v>21</v>
      </c>
      <c r="L4" s="1" t="s">
        <v>20</v>
      </c>
      <c r="M4" s="16"/>
      <c r="N4" s="16"/>
      <c r="O4" s="16"/>
      <c r="P4" s="16"/>
      <c r="Q4" s="16"/>
      <c r="R4" s="16"/>
      <c r="S4" s="16"/>
    </row>
    <row r="5" spans="1:20" x14ac:dyDescent="0.3">
      <c r="A5" s="56"/>
      <c r="B5" s="8" t="s">
        <v>18</v>
      </c>
      <c r="C5" s="42" t="s">
        <v>87</v>
      </c>
      <c r="D5" s="42"/>
      <c r="F5" s="5" t="s">
        <v>0</v>
      </c>
      <c r="G5" s="7">
        <v>160</v>
      </c>
      <c r="H5" s="32"/>
      <c r="J5" s="1" t="s">
        <v>22</v>
      </c>
      <c r="K5" s="1">
        <v>2021</v>
      </c>
      <c r="M5" s="16"/>
      <c r="N5" s="16"/>
      <c r="O5" s="16"/>
      <c r="P5" s="16"/>
      <c r="Q5" s="16"/>
      <c r="R5" s="16"/>
      <c r="S5" s="16"/>
    </row>
    <row r="6" spans="1:20" ht="16.95" customHeight="1" x14ac:dyDescent="0.3">
      <c r="A6" s="56" t="s">
        <v>26</v>
      </c>
      <c r="B6" s="8" t="s">
        <v>17</v>
      </c>
      <c r="C6" s="41" t="s">
        <v>86</v>
      </c>
      <c r="D6" s="41"/>
      <c r="F6" s="5" t="s">
        <v>6</v>
      </c>
      <c r="G6" s="7">
        <v>184</v>
      </c>
      <c r="H6" s="32"/>
      <c r="J6" s="1" t="s">
        <v>46</v>
      </c>
      <c r="K6" s="55">
        <v>11851260</v>
      </c>
      <c r="M6" s="16"/>
      <c r="N6" s="16"/>
      <c r="O6" s="16"/>
      <c r="P6" s="16"/>
      <c r="Q6" s="16"/>
      <c r="R6" s="16"/>
      <c r="S6" s="16"/>
    </row>
    <row r="7" spans="1:20" ht="18.600000000000001" customHeight="1" x14ac:dyDescent="0.3">
      <c r="A7" s="56"/>
      <c r="B7" s="8" t="s">
        <v>18</v>
      </c>
      <c r="C7" s="42" t="s">
        <v>88</v>
      </c>
      <c r="D7" s="43"/>
      <c r="F7" s="5" t="s">
        <v>7</v>
      </c>
      <c r="G7" s="7">
        <v>168</v>
      </c>
      <c r="H7" s="32"/>
      <c r="J7" s="1" t="s">
        <v>24</v>
      </c>
      <c r="K7" s="10" t="s">
        <v>84</v>
      </c>
      <c r="M7" s="16"/>
      <c r="N7" s="16"/>
      <c r="O7" s="16"/>
      <c r="P7" s="16"/>
      <c r="Q7" s="16"/>
      <c r="R7" s="16"/>
      <c r="S7" s="16"/>
    </row>
    <row r="8" spans="1:20" ht="30" customHeight="1" x14ac:dyDescent="0.3">
      <c r="A8" s="56" t="s">
        <v>27</v>
      </c>
      <c r="B8" s="8" t="s">
        <v>17</v>
      </c>
      <c r="C8" s="41" t="s">
        <v>86</v>
      </c>
      <c r="D8" s="41"/>
      <c r="F8" s="5" t="s">
        <v>8</v>
      </c>
      <c r="G8" s="7">
        <v>152</v>
      </c>
      <c r="H8" s="32" t="s">
        <v>16</v>
      </c>
      <c r="J8" s="1" t="s">
        <v>45</v>
      </c>
      <c r="K8" s="1">
        <v>184</v>
      </c>
    </row>
    <row r="9" spans="1:20" x14ac:dyDescent="0.3">
      <c r="A9" s="56"/>
      <c r="B9" s="8" t="s">
        <v>18</v>
      </c>
      <c r="C9" s="42" t="s">
        <v>89</v>
      </c>
      <c r="D9" s="44"/>
      <c r="F9" s="5" t="s">
        <v>9</v>
      </c>
      <c r="G9" s="7">
        <v>168</v>
      </c>
      <c r="H9" s="32"/>
    </row>
    <row r="10" spans="1:20" x14ac:dyDescent="0.3">
      <c r="A10" s="56" t="s">
        <v>28</v>
      </c>
      <c r="B10" s="8" t="s">
        <v>17</v>
      </c>
      <c r="C10" s="41" t="s">
        <v>86</v>
      </c>
      <c r="D10" s="41"/>
      <c r="F10" s="5" t="s">
        <v>10</v>
      </c>
      <c r="G10" s="7">
        <v>176</v>
      </c>
      <c r="H10" s="32"/>
      <c r="J10" s="1" t="s">
        <v>47</v>
      </c>
      <c r="K10" s="1">
        <v>2</v>
      </c>
    </row>
    <row r="11" spans="1:20" x14ac:dyDescent="0.3">
      <c r="A11" s="56"/>
      <c r="B11" s="8" t="s">
        <v>18</v>
      </c>
      <c r="C11" s="42" t="s">
        <v>90</v>
      </c>
      <c r="D11" s="42"/>
      <c r="F11" s="5" t="s">
        <v>11</v>
      </c>
      <c r="G11" s="7">
        <v>176</v>
      </c>
      <c r="H11" s="32"/>
    </row>
    <row r="12" spans="1:20" x14ac:dyDescent="0.3">
      <c r="A12" s="56" t="s">
        <v>29</v>
      </c>
      <c r="B12" s="8" t="s">
        <v>17</v>
      </c>
      <c r="C12" s="41" t="s">
        <v>86</v>
      </c>
      <c r="D12" s="41"/>
      <c r="F12" s="5" t="s">
        <v>12</v>
      </c>
      <c r="G12" s="7">
        <v>176</v>
      </c>
      <c r="H12" s="32"/>
    </row>
    <row r="13" spans="1:20" x14ac:dyDescent="0.3">
      <c r="A13" s="56"/>
      <c r="B13" s="8" t="s">
        <v>18</v>
      </c>
      <c r="C13" s="42" t="s">
        <v>91</v>
      </c>
      <c r="D13" s="44"/>
      <c r="F13" s="5" t="s">
        <v>13</v>
      </c>
      <c r="G13" s="7">
        <v>168</v>
      </c>
      <c r="H13" s="32"/>
    </row>
    <row r="14" spans="1:20" ht="15" customHeight="1" x14ac:dyDescent="0.3">
      <c r="A14" s="56" t="s">
        <v>30</v>
      </c>
      <c r="B14" s="8" t="s">
        <v>17</v>
      </c>
      <c r="C14" s="41" t="s">
        <v>86</v>
      </c>
      <c r="D14" s="45"/>
      <c r="F14" s="5" t="s">
        <v>14</v>
      </c>
      <c r="G14" s="7">
        <v>160</v>
      </c>
      <c r="H14" s="32"/>
    </row>
    <row r="15" spans="1:20" x14ac:dyDescent="0.3">
      <c r="A15" s="56"/>
      <c r="B15" s="8" t="s">
        <v>18</v>
      </c>
      <c r="C15" s="42" t="s">
        <v>92</v>
      </c>
      <c r="D15" s="46"/>
      <c r="F15" s="5" t="s">
        <v>15</v>
      </c>
      <c r="G15" s="7">
        <v>176</v>
      </c>
      <c r="H15" s="32" t="s">
        <v>16</v>
      </c>
    </row>
    <row r="16" spans="1:20" x14ac:dyDescent="0.3">
      <c r="A16" s="56" t="s">
        <v>31</v>
      </c>
      <c r="B16" s="8" t="s">
        <v>17</v>
      </c>
      <c r="C16" s="41" t="s">
        <v>86</v>
      </c>
      <c r="D16" s="41"/>
      <c r="F16" s="57" t="s">
        <v>71</v>
      </c>
      <c r="G16" s="57"/>
      <c r="H16" s="59" t="s">
        <v>85</v>
      </c>
    </row>
    <row r="17" spans="1:19" x14ac:dyDescent="0.3">
      <c r="A17" s="56"/>
      <c r="B17" s="8" t="s">
        <v>18</v>
      </c>
      <c r="C17" s="42" t="s">
        <v>93</v>
      </c>
      <c r="D17" s="47"/>
      <c r="F17" s="58"/>
      <c r="G17" s="58"/>
      <c r="H17" s="60"/>
      <c r="J17" s="1" t="s">
        <v>51</v>
      </c>
      <c r="K17" s="1" t="s">
        <v>62</v>
      </c>
      <c r="L17" s="1" t="s">
        <v>65</v>
      </c>
      <c r="M17" s="1" t="s">
        <v>66</v>
      </c>
      <c r="N17" s="1" t="s">
        <v>67</v>
      </c>
      <c r="O17" s="1" t="s">
        <v>68</v>
      </c>
      <c r="P17" s="1" t="s">
        <v>69</v>
      </c>
      <c r="Q17" s="1" t="s">
        <v>70</v>
      </c>
    </row>
    <row r="18" spans="1:19" x14ac:dyDescent="0.3">
      <c r="A18" s="56" t="s">
        <v>32</v>
      </c>
      <c r="B18" s="8" t="s">
        <v>17</v>
      </c>
      <c r="C18" s="41"/>
      <c r="D18" s="45"/>
      <c r="H18" s="60"/>
      <c r="J18" s="1" t="s">
        <v>63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f>AVERAGE(K18:P18)</f>
        <v>0</v>
      </c>
      <c r="R18" s="1">
        <v>0</v>
      </c>
      <c r="S18" s="1">
        <v>0</v>
      </c>
    </row>
    <row r="19" spans="1:19" x14ac:dyDescent="0.3">
      <c r="A19" s="56"/>
      <c r="B19" s="8" t="s">
        <v>18</v>
      </c>
      <c r="C19" s="42"/>
      <c r="D19" s="46"/>
      <c r="H19" s="60"/>
      <c r="J19" s="1" t="s">
        <v>52</v>
      </c>
      <c r="K19" s="1">
        <v>4.6875E-2</v>
      </c>
      <c r="L19" s="1">
        <v>3.125E-2</v>
      </c>
      <c r="M19" s="1">
        <v>4.6875E-2</v>
      </c>
      <c r="N19" s="1">
        <v>3.125E-2</v>
      </c>
      <c r="O19" s="1">
        <v>4.296875E-2</v>
      </c>
      <c r="P19" s="1">
        <v>4.296875E-2</v>
      </c>
      <c r="Q19" s="1">
        <f>AVERAGE(K19:P19)</f>
        <v>4.0364583333333336E-2</v>
      </c>
      <c r="R19" s="13">
        <f>Q19/$Q$29</f>
        <v>2.8328611898016999E-3</v>
      </c>
      <c r="S19" s="14">
        <f>(R18-R19 )*-1</f>
        <v>2.8328611898016999E-3</v>
      </c>
    </row>
    <row r="20" spans="1:19" x14ac:dyDescent="0.3">
      <c r="A20" s="56" t="s">
        <v>33</v>
      </c>
      <c r="B20" s="8" t="s">
        <v>17</v>
      </c>
      <c r="C20" s="41"/>
      <c r="D20" s="41"/>
      <c r="J20" s="1" t="s">
        <v>53</v>
      </c>
      <c r="K20" s="1">
        <v>7.03125E-2</v>
      </c>
      <c r="L20" s="1">
        <v>6.25E-2</v>
      </c>
      <c r="M20" s="1">
        <v>7.421875E-2</v>
      </c>
      <c r="N20" s="1">
        <v>5.859375E-2</v>
      </c>
      <c r="O20" s="1">
        <v>6.640625E-2</v>
      </c>
      <c r="P20" s="1">
        <v>7.421875E-2</v>
      </c>
      <c r="Q20" s="1">
        <f t="shared" ref="Q20:Q28" si="0">AVERAGE(K20:P20)</f>
        <v>6.7708333333333329E-2</v>
      </c>
      <c r="R20" s="13">
        <f t="shared" ref="R20:R29" si="1">Q20/$Q$29</f>
        <v>4.7518961893447866E-3</v>
      </c>
      <c r="S20" s="14">
        <f t="shared" ref="S20:S29" si="2">(R19-R20 )*-1</f>
        <v>1.9190349995430868E-3</v>
      </c>
    </row>
    <row r="21" spans="1:19" x14ac:dyDescent="0.3">
      <c r="A21" s="56"/>
      <c r="B21" s="8" t="s">
        <v>18</v>
      </c>
      <c r="C21" s="42"/>
      <c r="D21" s="47"/>
      <c r="J21" s="1" t="s">
        <v>54</v>
      </c>
      <c r="K21" s="1">
        <v>1.05078125</v>
      </c>
      <c r="L21" s="1">
        <v>1.30859375</v>
      </c>
      <c r="M21" s="1">
        <v>1.05078125</v>
      </c>
      <c r="N21" s="1">
        <v>1.04296875</v>
      </c>
      <c r="O21" s="1">
        <v>1.0390625</v>
      </c>
      <c r="P21" s="1">
        <v>1.0703125</v>
      </c>
      <c r="Q21" s="1">
        <f t="shared" si="0"/>
        <v>1.09375</v>
      </c>
      <c r="R21" s="13">
        <f t="shared" si="1"/>
        <v>7.6761399981723474E-2</v>
      </c>
      <c r="S21" s="14">
        <f t="shared" si="2"/>
        <v>7.2009503792378693E-2</v>
      </c>
    </row>
    <row r="22" spans="1:19" x14ac:dyDescent="0.3">
      <c r="A22" s="56" t="s">
        <v>34</v>
      </c>
      <c r="B22" s="8" t="s">
        <v>17</v>
      </c>
      <c r="C22" s="41"/>
      <c r="D22" s="48"/>
      <c r="J22" s="1" t="s">
        <v>55</v>
      </c>
      <c r="K22" s="1">
        <v>2.5546875</v>
      </c>
      <c r="L22" s="1">
        <v>3.38671875</v>
      </c>
      <c r="M22" s="1">
        <v>2.56640625</v>
      </c>
      <c r="N22" s="1">
        <v>2.54296875</v>
      </c>
      <c r="O22" s="1">
        <v>2.55859375</v>
      </c>
      <c r="P22" s="1">
        <v>2.58203125</v>
      </c>
      <c r="Q22" s="1">
        <f t="shared" si="0"/>
        <v>2.6985677083333335</v>
      </c>
      <c r="R22" s="13">
        <f t="shared" si="1"/>
        <v>0.18939047793109753</v>
      </c>
      <c r="S22" s="14">
        <f t="shared" si="2"/>
        <v>0.11262907794937406</v>
      </c>
    </row>
    <row r="23" spans="1:19" x14ac:dyDescent="0.3">
      <c r="A23" s="56"/>
      <c r="B23" s="8" t="s">
        <v>18</v>
      </c>
      <c r="C23" s="42"/>
      <c r="D23" s="49"/>
      <c r="J23" s="1" t="s">
        <v>56</v>
      </c>
      <c r="K23" s="1">
        <v>6.22265625</v>
      </c>
      <c r="L23" s="1">
        <v>8.63671875</v>
      </c>
      <c r="M23" s="1">
        <v>6.2265625</v>
      </c>
      <c r="N23" s="1">
        <v>6.2109375</v>
      </c>
      <c r="O23" s="1">
        <v>6.22265625</v>
      </c>
      <c r="P23" s="1">
        <v>6.25390625</v>
      </c>
      <c r="Q23" s="1">
        <f t="shared" si="0"/>
        <v>6.62890625</v>
      </c>
      <c r="R23" s="13">
        <f t="shared" si="1"/>
        <v>0.46522891346065981</v>
      </c>
      <c r="S23" s="14">
        <f t="shared" si="2"/>
        <v>0.27583843552956228</v>
      </c>
    </row>
    <row r="24" spans="1:19" x14ac:dyDescent="0.3">
      <c r="A24" s="56" t="s">
        <v>35</v>
      </c>
      <c r="B24" s="8" t="s">
        <v>17</v>
      </c>
      <c r="C24" s="41"/>
      <c r="D24" s="53"/>
      <c r="J24" s="1" t="s">
        <v>57</v>
      </c>
      <c r="K24" s="1">
        <v>9.515625</v>
      </c>
      <c r="L24" s="1">
        <v>13.45703125</v>
      </c>
      <c r="M24" s="1">
        <v>9.46875</v>
      </c>
      <c r="N24" s="1">
        <v>9.44921875</v>
      </c>
      <c r="O24" s="1">
        <v>9.4765625</v>
      </c>
      <c r="P24" s="1">
        <v>9.5546875</v>
      </c>
      <c r="Q24" s="1">
        <f t="shared" si="0"/>
        <v>10.153645833333334</v>
      </c>
      <c r="R24" s="13">
        <f t="shared" si="1"/>
        <v>0.71260166316366635</v>
      </c>
      <c r="S24" s="14">
        <f t="shared" si="2"/>
        <v>0.24737274970300654</v>
      </c>
    </row>
    <row r="25" spans="1:19" x14ac:dyDescent="0.3">
      <c r="A25" s="56"/>
      <c r="B25" s="8" t="s">
        <v>18</v>
      </c>
      <c r="C25" s="42"/>
      <c r="D25" s="53"/>
      <c r="J25" s="1" t="s">
        <v>58</v>
      </c>
      <c r="K25" s="1">
        <v>10.17578125</v>
      </c>
      <c r="L25" s="1">
        <v>14.28125</v>
      </c>
      <c r="M25" s="1">
        <v>10.12109375</v>
      </c>
      <c r="N25" s="1">
        <v>10.10546875</v>
      </c>
      <c r="O25" s="1">
        <v>10.125</v>
      </c>
      <c r="P25" s="1">
        <v>10.203125</v>
      </c>
      <c r="Q25" s="1">
        <f t="shared" si="0"/>
        <v>10.835286458333334</v>
      </c>
      <c r="R25" s="13">
        <f t="shared" si="1"/>
        <v>0.7604404642237047</v>
      </c>
      <c r="S25" s="14">
        <f t="shared" si="2"/>
        <v>4.783880106003835E-2</v>
      </c>
    </row>
    <row r="26" spans="1:19" x14ac:dyDescent="0.3">
      <c r="A26" s="56" t="s">
        <v>36</v>
      </c>
      <c r="B26" s="8" t="s">
        <v>17</v>
      </c>
      <c r="C26" s="41"/>
      <c r="D26" s="41"/>
      <c r="J26" s="1" t="s">
        <v>59</v>
      </c>
      <c r="K26" s="1">
        <v>11.75</v>
      </c>
      <c r="L26" s="1">
        <v>15.921875</v>
      </c>
      <c r="M26" s="1">
        <v>11.66796875</v>
      </c>
      <c r="N26" s="1">
        <v>11.6640625</v>
      </c>
      <c r="O26" s="1">
        <v>11.671875</v>
      </c>
      <c r="P26" s="1">
        <v>11.76953125</v>
      </c>
      <c r="Q26" s="1">
        <f t="shared" si="0"/>
        <v>12.407552083333334</v>
      </c>
      <c r="R26" s="13">
        <f t="shared" si="1"/>
        <v>0.87078497669743227</v>
      </c>
      <c r="S26" s="14">
        <f t="shared" si="2"/>
        <v>0.11034451247372756</v>
      </c>
    </row>
    <row r="27" spans="1:19" x14ac:dyDescent="0.3">
      <c r="A27" s="56"/>
      <c r="B27" s="8" t="s">
        <v>18</v>
      </c>
      <c r="C27" s="42"/>
      <c r="D27" s="47"/>
      <c r="J27" s="1" t="s">
        <v>60</v>
      </c>
      <c r="K27" s="1">
        <v>11.98828125</v>
      </c>
      <c r="L27" s="1">
        <v>16.1875</v>
      </c>
      <c r="M27" s="1">
        <v>11.90625</v>
      </c>
      <c r="N27" s="1">
        <v>11.90234375</v>
      </c>
      <c r="O27" s="1">
        <v>11.921875</v>
      </c>
      <c r="P27" s="1">
        <v>12.0078125</v>
      </c>
      <c r="Q27" s="1">
        <f t="shared" si="0"/>
        <v>12.65234375</v>
      </c>
      <c r="R27" s="13">
        <f t="shared" si="1"/>
        <v>0.88796490907429415</v>
      </c>
      <c r="S27" s="14">
        <f t="shared" si="2"/>
        <v>1.7179932376861884E-2</v>
      </c>
    </row>
    <row r="28" spans="1:19" x14ac:dyDescent="0.3">
      <c r="A28" s="56" t="s">
        <v>37</v>
      </c>
      <c r="B28" s="8" t="s">
        <v>17</v>
      </c>
      <c r="C28" s="41"/>
      <c r="D28" s="48"/>
      <c r="J28" s="1" t="s">
        <v>61</v>
      </c>
      <c r="K28" s="1">
        <v>12.1015625</v>
      </c>
      <c r="L28" s="1">
        <v>16.30078125</v>
      </c>
      <c r="M28" s="1">
        <v>12.0234375</v>
      </c>
      <c r="N28" s="1">
        <v>12.015625</v>
      </c>
      <c r="O28" s="1">
        <v>12.03515625</v>
      </c>
      <c r="P28" s="1">
        <v>12.125</v>
      </c>
      <c r="Q28" s="1">
        <f t="shared" si="0"/>
        <v>12.766927083333334</v>
      </c>
      <c r="R28" s="13">
        <f t="shared" si="1"/>
        <v>0.89600657954856999</v>
      </c>
      <c r="S28" s="14">
        <f t="shared" si="2"/>
        <v>8.0416704742758416E-3</v>
      </c>
    </row>
    <row r="29" spans="1:19" x14ac:dyDescent="0.3">
      <c r="A29" s="56"/>
      <c r="B29" s="8" t="s">
        <v>18</v>
      </c>
      <c r="C29" s="42"/>
      <c r="D29" s="49"/>
      <c r="J29" s="1" t="s">
        <v>64</v>
      </c>
      <c r="K29" s="1">
        <v>13.62109375</v>
      </c>
      <c r="L29" s="1">
        <v>17.7734375</v>
      </c>
      <c r="M29" s="1">
        <v>13.50390625</v>
      </c>
      <c r="N29" s="1">
        <v>13.49609375</v>
      </c>
      <c r="O29" s="1">
        <v>13.5078125</v>
      </c>
      <c r="P29" s="1">
        <v>13.58984375</v>
      </c>
      <c r="Q29" s="1">
        <f>AVERAGE(K29:P29)</f>
        <v>14.248697916666666</v>
      </c>
      <c r="R29" s="1">
        <f t="shared" si="1"/>
        <v>1</v>
      </c>
      <c r="S29" s="14">
        <f t="shared" si="2"/>
        <v>0.10399342045143001</v>
      </c>
    </row>
    <row r="30" spans="1:19" x14ac:dyDescent="0.3">
      <c r="A30" s="56" t="s">
        <v>38</v>
      </c>
      <c r="B30" s="8" t="s">
        <v>17</v>
      </c>
      <c r="C30" s="41"/>
      <c r="D30" s="48"/>
    </row>
    <row r="31" spans="1:19" x14ac:dyDescent="0.3">
      <c r="A31" s="56"/>
      <c r="B31" s="8" t="s">
        <v>18</v>
      </c>
      <c r="C31" s="42"/>
      <c r="D31" s="49"/>
      <c r="J31" s="1" t="s">
        <v>51</v>
      </c>
      <c r="K31" s="1" t="s">
        <v>62</v>
      </c>
      <c r="L31" s="1" t="s">
        <v>65</v>
      </c>
      <c r="M31" s="1" t="s">
        <v>66</v>
      </c>
      <c r="N31" s="1" t="s">
        <v>67</v>
      </c>
      <c r="O31" s="1" t="s">
        <v>68</v>
      </c>
      <c r="P31" s="1" t="s">
        <v>69</v>
      </c>
      <c r="Q31" s="1" t="s">
        <v>70</v>
      </c>
      <c r="R31" s="1" t="s">
        <v>73</v>
      </c>
      <c r="S31" s="1" t="s">
        <v>73</v>
      </c>
    </row>
    <row r="32" spans="1:19" x14ac:dyDescent="0.3">
      <c r="A32" s="56" t="s">
        <v>39</v>
      </c>
      <c r="B32" s="8" t="s">
        <v>17</v>
      </c>
      <c r="C32" s="41"/>
      <c r="D32" s="50"/>
      <c r="J32" s="1" t="s">
        <v>63</v>
      </c>
      <c r="K32" s="54"/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f>AVERAGE(L32:P32)</f>
        <v>0</v>
      </c>
      <c r="R32" s="14">
        <v>0</v>
      </c>
      <c r="S32" s="14"/>
    </row>
    <row r="33" spans="1:19" x14ac:dyDescent="0.3">
      <c r="A33" s="56"/>
      <c r="B33" s="8" t="s">
        <v>18</v>
      </c>
      <c r="C33" s="42"/>
      <c r="D33" s="51"/>
      <c r="J33" s="1" t="s">
        <v>72</v>
      </c>
      <c r="L33" s="54">
        <v>4.53125</v>
      </c>
      <c r="M33" s="54">
        <v>3.015625</v>
      </c>
      <c r="N33" s="1">
        <v>2.5</v>
      </c>
      <c r="O33" s="1">
        <v>2.640625</v>
      </c>
      <c r="P33" s="1">
        <v>2.828125</v>
      </c>
      <c r="Q33" s="1">
        <f t="shared" ref="Q33:Q43" si="3">AVERAGE(L33:P33)</f>
        <v>3.1031249999999999</v>
      </c>
      <c r="R33" s="14" t="e">
        <f>Q33/#REF!</f>
        <v>#REF!</v>
      </c>
      <c r="S33" s="14" t="e">
        <f>R33-R32</f>
        <v>#REF!</v>
      </c>
    </row>
    <row r="34" spans="1:19" x14ac:dyDescent="0.3">
      <c r="A34" s="56" t="s">
        <v>40</v>
      </c>
      <c r="B34" s="8" t="s">
        <v>17</v>
      </c>
      <c r="C34" s="41"/>
      <c r="D34" s="50"/>
      <c r="J34" s="1" t="s">
        <v>74</v>
      </c>
      <c r="L34" s="54">
        <v>4.828125</v>
      </c>
      <c r="M34" s="54">
        <v>3.296875</v>
      </c>
      <c r="N34" s="1">
        <v>2.78125</v>
      </c>
      <c r="O34" s="1">
        <v>2.8984375</v>
      </c>
      <c r="P34" s="1">
        <v>3.109375</v>
      </c>
      <c r="Q34" s="1">
        <f t="shared" si="3"/>
        <v>3.3828125</v>
      </c>
      <c r="R34" s="14" t="e">
        <f>Q34/#REF!</f>
        <v>#REF!</v>
      </c>
      <c r="S34" s="14" t="e">
        <f t="shared" ref="S34:S43" si="4">R34-R33</f>
        <v>#REF!</v>
      </c>
    </row>
    <row r="35" spans="1:19" x14ac:dyDescent="0.3">
      <c r="A35" s="56"/>
      <c r="B35" s="8" t="s">
        <v>18</v>
      </c>
      <c r="C35" s="42"/>
      <c r="D35" s="51"/>
      <c r="J35" s="1" t="s">
        <v>75</v>
      </c>
      <c r="K35" s="1">
        <v>3.2890625</v>
      </c>
      <c r="L35" s="54">
        <v>5.09375</v>
      </c>
      <c r="M35" s="54">
        <v>3.546875</v>
      </c>
      <c r="N35" s="1">
        <v>3.03125</v>
      </c>
      <c r="O35" s="1">
        <v>3.15625</v>
      </c>
      <c r="P35" s="1">
        <v>3.359375</v>
      </c>
      <c r="Q35" s="1">
        <f t="shared" si="3"/>
        <v>3.6375000000000002</v>
      </c>
      <c r="R35" s="14" t="e">
        <f>Q35/#REF!</f>
        <v>#REF!</v>
      </c>
      <c r="S35" s="14" t="e">
        <f t="shared" si="4"/>
        <v>#REF!</v>
      </c>
    </row>
    <row r="36" spans="1:19" x14ac:dyDescent="0.3">
      <c r="A36" s="56" t="s">
        <v>41</v>
      </c>
      <c r="B36" s="8" t="s">
        <v>17</v>
      </c>
      <c r="C36" s="41"/>
      <c r="D36" s="50"/>
      <c r="J36" s="1" t="s">
        <v>77</v>
      </c>
      <c r="K36" s="1">
        <v>3.5390625</v>
      </c>
      <c r="L36" s="54">
        <v>5.34375</v>
      </c>
      <c r="M36" s="54">
        <v>3.796875</v>
      </c>
      <c r="N36" s="1">
        <v>3.28125</v>
      </c>
      <c r="O36" s="1">
        <v>3.40625</v>
      </c>
      <c r="P36" s="1">
        <v>3.609375</v>
      </c>
      <c r="Q36" s="1">
        <f t="shared" si="3"/>
        <v>3.8875000000000002</v>
      </c>
      <c r="R36" s="14" t="e">
        <f>Q36/#REF!</f>
        <v>#REF!</v>
      </c>
      <c r="S36" s="14" t="e">
        <f t="shared" si="4"/>
        <v>#REF!</v>
      </c>
    </row>
    <row r="37" spans="1:19" x14ac:dyDescent="0.3">
      <c r="A37" s="56"/>
      <c r="B37" s="8" t="s">
        <v>18</v>
      </c>
      <c r="C37" s="42"/>
      <c r="D37" s="51"/>
      <c r="J37" s="1" t="s">
        <v>78</v>
      </c>
      <c r="K37" s="1">
        <v>3.7890625</v>
      </c>
      <c r="L37" s="54">
        <v>5.578125</v>
      </c>
      <c r="M37" s="54">
        <v>4.046875</v>
      </c>
      <c r="N37" s="1">
        <v>3.53125</v>
      </c>
      <c r="O37" s="1">
        <v>3.65625</v>
      </c>
      <c r="P37" s="1">
        <v>3.859375</v>
      </c>
      <c r="Q37" s="1">
        <f t="shared" si="3"/>
        <v>4.1343750000000004</v>
      </c>
      <c r="R37" s="14" t="e">
        <f>Q37/#REF!</f>
        <v>#REF!</v>
      </c>
      <c r="S37" s="14" t="e">
        <f t="shared" si="4"/>
        <v>#REF!</v>
      </c>
    </row>
    <row r="38" spans="1:19" x14ac:dyDescent="0.3">
      <c r="A38" s="56" t="s">
        <v>42</v>
      </c>
      <c r="B38" s="8" t="s">
        <v>17</v>
      </c>
      <c r="C38" s="41"/>
      <c r="D38" s="50"/>
      <c r="J38" s="1" t="s">
        <v>76</v>
      </c>
      <c r="K38" s="1">
        <v>4.0390625</v>
      </c>
      <c r="L38" s="54">
        <v>5.828125</v>
      </c>
      <c r="M38" s="54">
        <v>4.296875</v>
      </c>
      <c r="N38" s="1">
        <v>3.7734375</v>
      </c>
      <c r="O38" s="1">
        <v>3.90625</v>
      </c>
      <c r="P38" s="1">
        <v>4.109375</v>
      </c>
      <c r="Q38" s="1">
        <f t="shared" si="3"/>
        <v>4.3828125</v>
      </c>
      <c r="R38" s="14" t="e">
        <f>Q38/#REF!</f>
        <v>#REF!</v>
      </c>
      <c r="S38" s="14" t="e">
        <f t="shared" si="4"/>
        <v>#REF!</v>
      </c>
    </row>
    <row r="39" spans="1:19" x14ac:dyDescent="0.3">
      <c r="A39" s="56"/>
      <c r="B39" s="8" t="s">
        <v>18</v>
      </c>
      <c r="C39" s="42"/>
      <c r="D39" s="51"/>
      <c r="J39" s="1" t="s">
        <v>79</v>
      </c>
      <c r="K39" s="1">
        <v>4.2890625</v>
      </c>
      <c r="L39" s="54">
        <v>6.078125</v>
      </c>
      <c r="M39" s="54">
        <v>4.5625</v>
      </c>
      <c r="N39" s="1">
        <v>4.0390625</v>
      </c>
      <c r="O39" s="1">
        <v>4.15625</v>
      </c>
      <c r="P39" s="1">
        <v>4.359375</v>
      </c>
      <c r="Q39" s="1">
        <f t="shared" si="3"/>
        <v>4.6390624999999996</v>
      </c>
      <c r="R39" s="14" t="e">
        <f>Q39/#REF!</f>
        <v>#REF!</v>
      </c>
      <c r="S39" s="14" t="e">
        <f t="shared" si="4"/>
        <v>#REF!</v>
      </c>
    </row>
    <row r="40" spans="1:19" x14ac:dyDescent="0.3">
      <c r="A40" s="56" t="s">
        <v>43</v>
      </c>
      <c r="B40" s="8" t="s">
        <v>17</v>
      </c>
      <c r="C40" s="41"/>
      <c r="D40" s="50"/>
      <c r="J40" s="1" t="s">
        <v>80</v>
      </c>
      <c r="K40" s="1">
        <v>4.5390625</v>
      </c>
      <c r="L40" s="54">
        <v>6.328125</v>
      </c>
      <c r="M40" s="54">
        <v>4.828125</v>
      </c>
      <c r="N40" s="1">
        <v>4.2734375</v>
      </c>
      <c r="O40" s="1">
        <v>4.40625</v>
      </c>
      <c r="P40" s="1">
        <v>4.609375</v>
      </c>
      <c r="Q40" s="1">
        <f t="shared" si="3"/>
        <v>4.8890624999999996</v>
      </c>
      <c r="R40" s="14" t="e">
        <f>Q40/#REF!</f>
        <v>#REF!</v>
      </c>
      <c r="S40" s="14" t="e">
        <f t="shared" si="4"/>
        <v>#REF!</v>
      </c>
    </row>
    <row r="41" spans="1:19" x14ac:dyDescent="0.3">
      <c r="A41" s="56"/>
      <c r="B41" s="8" t="s">
        <v>18</v>
      </c>
      <c r="C41" s="42"/>
      <c r="D41" s="51"/>
      <c r="J41" s="1" t="s">
        <v>81</v>
      </c>
      <c r="K41" s="1">
        <v>4.7890625</v>
      </c>
      <c r="L41" s="54">
        <v>6.578125</v>
      </c>
      <c r="M41" s="54">
        <v>5.078125</v>
      </c>
      <c r="N41" s="1">
        <v>4.5234375</v>
      </c>
      <c r="O41" s="1">
        <v>4.65625</v>
      </c>
      <c r="P41" s="1">
        <v>4.84375</v>
      </c>
      <c r="Q41" s="1">
        <f t="shared" si="3"/>
        <v>5.1359374999999998</v>
      </c>
      <c r="R41" s="14" t="e">
        <f>Q41/#REF!</f>
        <v>#REF!</v>
      </c>
      <c r="S41" s="14" t="e">
        <f t="shared" si="4"/>
        <v>#REF!</v>
      </c>
    </row>
    <row r="42" spans="1:19" x14ac:dyDescent="0.3">
      <c r="A42" s="56" t="s">
        <v>44</v>
      </c>
      <c r="B42" s="8" t="s">
        <v>17</v>
      </c>
      <c r="C42" s="41"/>
      <c r="D42" s="50"/>
      <c r="J42" s="1" t="s">
        <v>82</v>
      </c>
      <c r="K42" s="1">
        <v>5.0234375</v>
      </c>
      <c r="L42" s="54">
        <v>6.8125</v>
      </c>
      <c r="M42" s="54">
        <v>5.328125</v>
      </c>
      <c r="N42" s="1">
        <v>4.7734375</v>
      </c>
      <c r="O42" s="1">
        <v>4.890625</v>
      </c>
      <c r="P42" s="1">
        <v>5.09375</v>
      </c>
      <c r="Q42" s="1">
        <f t="shared" si="3"/>
        <v>5.3796875000000002</v>
      </c>
      <c r="R42" s="14" t="e">
        <f>Q42/#REF!</f>
        <v>#REF!</v>
      </c>
      <c r="S42" s="14" t="e">
        <f t="shared" si="4"/>
        <v>#REF!</v>
      </c>
    </row>
    <row r="43" spans="1:19" x14ac:dyDescent="0.3">
      <c r="A43" s="56"/>
      <c r="B43" s="8" t="s">
        <v>18</v>
      </c>
      <c r="C43" s="42"/>
      <c r="D43" s="51"/>
      <c r="J43" s="1" t="s">
        <v>83</v>
      </c>
      <c r="K43" s="1">
        <v>5.2734375</v>
      </c>
      <c r="L43" s="54">
        <v>7.078125</v>
      </c>
      <c r="M43" s="54">
        <v>5.578125</v>
      </c>
      <c r="N43" s="1">
        <v>5.0234375</v>
      </c>
      <c r="O43" s="1">
        <v>5.140625</v>
      </c>
      <c r="P43" s="1">
        <v>5.34375</v>
      </c>
      <c r="Q43" s="1">
        <f t="shared" si="3"/>
        <v>5.6328125</v>
      </c>
      <c r="R43" s="14" t="e">
        <f>Q43/#REF!</f>
        <v>#REF!</v>
      </c>
      <c r="S43" s="14" t="e">
        <f t="shared" si="4"/>
        <v>#REF!</v>
      </c>
    </row>
  </sheetData>
  <sheetProtection selectLockedCells="1"/>
  <dataConsolidate/>
  <mergeCells count="23">
    <mergeCell ref="F16:G17"/>
    <mergeCell ref="H16:H19"/>
    <mergeCell ref="J1:K2"/>
    <mergeCell ref="A28:A29"/>
    <mergeCell ref="A30:A31"/>
    <mergeCell ref="A16:A17"/>
    <mergeCell ref="A18:A19"/>
    <mergeCell ref="A20:A21"/>
    <mergeCell ref="A22:A23"/>
    <mergeCell ref="A24:A25"/>
    <mergeCell ref="A26:A27"/>
    <mergeCell ref="A14:A15"/>
    <mergeCell ref="A4:A5"/>
    <mergeCell ref="A6:A7"/>
    <mergeCell ref="A8:A9"/>
    <mergeCell ref="A10:A11"/>
    <mergeCell ref="A12:A13"/>
    <mergeCell ref="A42:A43"/>
    <mergeCell ref="A32:A33"/>
    <mergeCell ref="A34:A35"/>
    <mergeCell ref="A36:A37"/>
    <mergeCell ref="A38:A39"/>
    <mergeCell ref="A40:A41"/>
  </mergeCells>
  <phoneticPr fontId="3" type="noConversion"/>
  <conditionalFormatting sqref="C2 G4:G15 E4 H16:H19 C4:D43">
    <cfRule type="expression" dxfId="0" priority="1">
      <formula>TRUE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source_btn_click">
                <anchor moveWithCells="1" sizeWithCells="1">
                  <from>
                    <xdr:col>5</xdr:col>
                    <xdr:colOff>0</xdr:colOff>
                    <xdr:row>19</xdr:row>
                    <xdr:rowOff>15240</xdr:rowOff>
                  </from>
                  <to>
                    <xdr:col>6</xdr:col>
                    <xdr:colOff>1120140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workshitapostasis">
                <anchor moveWithCells="1" sizeWithCells="1">
                  <from>
                    <xdr:col>9</xdr:col>
                    <xdr:colOff>0</xdr:colOff>
                    <xdr:row>12</xdr:row>
                    <xdr:rowOff>38100</xdr:rowOff>
                  </from>
                  <to>
                    <xdr:col>9</xdr:col>
                    <xdr:colOff>1043940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karty_pracy.show_dlgbox">
                <anchor moveWithCells="1" sizeWithCells="1">
                  <from>
                    <xdr:col>5</xdr:col>
                    <xdr:colOff>0</xdr:colOff>
                    <xdr:row>22</xdr:row>
                    <xdr:rowOff>15240</xdr:rowOff>
                  </from>
                  <to>
                    <xdr:col>6</xdr:col>
                    <xdr:colOff>1120140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Nazwane zakresy</vt:lpstr>
      </vt:variant>
      <vt:variant>
        <vt:i4>1</vt:i4>
      </vt:variant>
    </vt:vector>
  </HeadingPairs>
  <TitlesOfParts>
    <vt:vector size="2" baseType="lpstr">
      <vt:lpstr>Generator</vt:lpstr>
      <vt:lpstr>Generator!edytowalne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Aleksandra Worwa;J.sroka</dc:creator>
  <cp:lastModifiedBy>Jarosław Sroka</cp:lastModifiedBy>
  <cp:lastPrinted>2021-08-12T10:55:13Z</cp:lastPrinted>
  <dcterms:created xsi:type="dcterms:W3CDTF">2006-09-16T00:00:00Z</dcterms:created>
  <dcterms:modified xsi:type="dcterms:W3CDTF">2021-08-12T11:19:26Z</dcterms:modified>
</cp:coreProperties>
</file>